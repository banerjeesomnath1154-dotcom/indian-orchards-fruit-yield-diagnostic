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Reconciliation" sheetId="1" state="visible" r:id="rId1"/>
    <sheet xmlns:r="http://schemas.openxmlformats.org/officeDocument/2006/relationships" name="District Data" sheetId="2" state="visible" r:id="rId2"/>
    <sheet xmlns:r="http://schemas.openxmlformats.org/officeDocument/2006/relationships" name="Crop Bench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164" fontId="5" fillId="0" borderId="1" pivotButton="0" quotePrefix="0" xfId="0"/>
    <xf numFmtId="0" fontId="4" fillId="0" borderId="2" pivotButton="0" quotePrefix="0" xfId="0"/>
    <xf numFmtId="3" fontId="4" fillId="0" borderId="2" pivotButton="0" quotePrefix="0" xfId="0"/>
    <xf numFmtId="4" fontId="4" fillId="0" borderId="2" pivotButton="0" quotePrefix="0" xfId="0"/>
    <xf numFmtId="2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6" customWidth="1" min="2" max="2"/>
    <col width="56" customWidth="1" min="3" max="3"/>
    <col width="31" customWidth="1" min="4" max="4"/>
    <col width="49" customWidth="1" min="5" max="5"/>
    <col width="29" customWidth="1" min="6" max="6"/>
    <col width="20" customWidth="1" min="7" max="7"/>
    <col width="22" customWidth="1" min="8" max="8"/>
    <col width="22" customWidth="1" min="9" max="9"/>
  </cols>
  <sheetData>
    <row r="1">
      <c r="A1" s="1" t="inlineStr">
        <is>
          <t>Indian Orchards &amp; Fruit Crops: Yield &amp; Productivity Summary</t>
        </is>
      </c>
    </row>
    <row r="2">
      <c r="A2" s="2" t="inlineStr">
        <is>
          <t>Automated Spreadsheet Reconciliation Model | Indian APY Analytics Phase 3</t>
        </is>
      </c>
    </row>
    <row r="3"/>
    <row r="4" ht="28" customHeight="1">
      <c r="A4" s="3" t="inlineStr">
        <is>
          <t>Fruit Crop</t>
        </is>
      </c>
      <c r="B4" s="3" t="inlineStr">
        <is>
          <t>Total Area (Ha)</t>
        </is>
      </c>
      <c r="C4" s="3" t="inlineStr">
        <is>
          <t>Total Production (Tonnes)</t>
        </is>
      </c>
      <c r="D4" s="3" t="inlineStr">
        <is>
          <t>Calculated Yield (Tonnes/Ha)</t>
        </is>
      </c>
      <c r="E4" s="3" t="inlineStr">
        <is>
          <t>Benchmark Yield (Tonnes/Ha)</t>
        </is>
      </c>
      <c r="F4" s="3" t="inlineStr">
        <is>
          <t>Yield Variance (%)</t>
        </is>
      </c>
      <c r="G4" s="3" t="inlineStr">
        <is>
          <t>Productivity Status</t>
        </is>
      </c>
      <c r="H4" s="3" t="inlineStr">
        <is>
          <t>SQL Database Total Prod (Tonnes)</t>
        </is>
      </c>
      <c r="I4" s="3" t="inlineStr">
        <is>
          <t>Reconciliation Diff (Tonnes)</t>
        </is>
      </c>
    </row>
    <row r="5">
      <c r="A5" s="4" t="inlineStr">
        <is>
          <t>Apple</t>
        </is>
      </c>
      <c r="B5" s="5">
        <f>SUMIF('District Data'!C:C, A5, 'District Data'!D:D)</f>
        <v/>
      </c>
      <c r="C5" s="6">
        <f>SUMIF('District Data'!C:C, A5, 'District Data'!E:E)</f>
        <v/>
      </c>
      <c r="D5" s="7">
        <f>IFERROR(C5/B5, 0)</f>
        <v/>
      </c>
      <c r="E5" s="7">
        <f>VLOOKUP(A5, 'Crop Benchmarks'!A:B, 2, FALSE)</f>
        <v/>
      </c>
      <c r="F5" s="8">
        <f>IFERROR((D5-E5)/E5, 0)</f>
        <v/>
      </c>
      <c r="G5" s="4">
        <f>IF(F5&gt;=0.002, "High Yield", IF(F5&gt;=-0.01, "Moderate Yield", "Needs Support"))</f>
        <v/>
      </c>
      <c r="H5" s="6" t="n">
        <v>1801939.36</v>
      </c>
      <c r="I5" s="7">
        <f>ROUND(C5-H5, 2)</f>
        <v/>
      </c>
    </row>
    <row r="6">
      <c r="A6" s="4" t="inlineStr">
        <is>
          <t>Banana</t>
        </is>
      </c>
      <c r="B6" s="5">
        <f>SUMIF('District Data'!C:C, A6, 'District Data'!D:D)</f>
        <v/>
      </c>
      <c r="C6" s="6">
        <f>SUMIF('District Data'!C:C, A6, 'District Data'!E:E)</f>
        <v/>
      </c>
      <c r="D6" s="7">
        <f>IFERROR(C6/B6, 0)</f>
        <v/>
      </c>
      <c r="E6" s="7">
        <f>VLOOKUP(A6, 'Crop Benchmarks'!A:B, 2, FALSE)</f>
        <v/>
      </c>
      <c r="F6" s="8">
        <f>IFERROR((D6-E6)/E6, 0)</f>
        <v/>
      </c>
      <c r="G6" s="4">
        <f>IF(F6&gt;=0.002, "High Yield", IF(F6&gt;=-0.01, "Moderate Yield", "Needs Support"))</f>
        <v/>
      </c>
      <c r="H6" s="6" t="n">
        <v>7092973.56</v>
      </c>
      <c r="I6" s="7">
        <f>ROUND(C6-H6, 2)</f>
        <v/>
      </c>
    </row>
    <row r="7">
      <c r="A7" s="4" t="inlineStr">
        <is>
          <t>Citrus</t>
        </is>
      </c>
      <c r="B7" s="5">
        <f>SUMIF('District Data'!C:C, A7, 'District Data'!D:D)</f>
        <v/>
      </c>
      <c r="C7" s="6">
        <f>SUMIF('District Data'!C:C, A7, 'District Data'!E:E)</f>
        <v/>
      </c>
      <c r="D7" s="7">
        <f>IFERROR(C7/B7, 0)</f>
        <v/>
      </c>
      <c r="E7" s="7">
        <f>VLOOKUP(A7, 'Crop Benchmarks'!A:B, 2, FALSE)</f>
        <v/>
      </c>
      <c r="F7" s="8">
        <f>IFERROR((D7-E7)/E7, 0)</f>
        <v/>
      </c>
      <c r="G7" s="4">
        <f>IF(F7&gt;=0.002, "High Yield", IF(F7&gt;=-0.01, "Moderate Yield", "Needs Support"))</f>
        <v/>
      </c>
      <c r="H7" s="6" t="n">
        <v>2701950.68</v>
      </c>
      <c r="I7" s="7">
        <f>ROUND(C7-H7, 2)</f>
        <v/>
      </c>
    </row>
    <row r="8">
      <c r="A8" s="4" t="inlineStr">
        <is>
          <t>Grapes</t>
        </is>
      </c>
      <c r="B8" s="5">
        <f>SUMIF('District Data'!C:C, A8, 'District Data'!D:D)</f>
        <v/>
      </c>
      <c r="C8" s="6">
        <f>SUMIF('District Data'!C:C, A8, 'District Data'!E:E)</f>
        <v/>
      </c>
      <c r="D8" s="7">
        <f>IFERROR(C8/B8, 0)</f>
        <v/>
      </c>
      <c r="E8" s="7">
        <f>VLOOKUP(A8, 'Crop Benchmarks'!A:B, 2, FALSE)</f>
        <v/>
      </c>
      <c r="F8" s="8">
        <f>IFERROR((D8-E8)/E8, 0)</f>
        <v/>
      </c>
      <c r="G8" s="4">
        <f>IF(F8&gt;=0.002, "High Yield", IF(F8&gt;=-0.01, "Moderate Yield", "Needs Support"))</f>
        <v/>
      </c>
      <c r="H8" s="6" t="n">
        <v>2328689.63</v>
      </c>
      <c r="I8" s="7">
        <f>ROUND(C8-H8, 2)</f>
        <v/>
      </c>
    </row>
    <row r="9">
      <c r="A9" s="4" t="inlineStr">
        <is>
          <t>Guava</t>
        </is>
      </c>
      <c r="B9" s="5">
        <f>SUMIF('District Data'!C:C, A9, 'District Data'!D:D)</f>
        <v/>
      </c>
      <c r="C9" s="6">
        <f>SUMIF('District Data'!C:C, A9, 'District Data'!E:E)</f>
        <v/>
      </c>
      <c r="D9" s="7">
        <f>IFERROR(C9/B9, 0)</f>
        <v/>
      </c>
      <c r="E9" s="7">
        <f>VLOOKUP(A9, 'Crop Benchmarks'!A:B, 2, FALSE)</f>
        <v/>
      </c>
      <c r="F9" s="8">
        <f>IFERROR((D9-E9)/E9, 0)</f>
        <v/>
      </c>
      <c r="G9" s="4">
        <f>IF(F9&gt;=0.002, "High Yield", IF(F9&gt;=-0.01, "Moderate Yield", "Needs Support"))</f>
        <v/>
      </c>
      <c r="H9" s="6" t="n">
        <v>1548911.39</v>
      </c>
      <c r="I9" s="7">
        <f>ROUND(C9-H9, 2)</f>
        <v/>
      </c>
    </row>
    <row r="10">
      <c r="A10" s="4" t="inlineStr">
        <is>
          <t>Mango</t>
        </is>
      </c>
      <c r="B10" s="5">
        <f>SUMIF('District Data'!C:C, A10, 'District Data'!D:D)</f>
        <v/>
      </c>
      <c r="C10" s="6">
        <f>SUMIF('District Data'!C:C, A10, 'District Data'!E:E)</f>
        <v/>
      </c>
      <c r="D10" s="7">
        <f>IFERROR(C10/B10, 0)</f>
        <v/>
      </c>
      <c r="E10" s="7">
        <f>VLOOKUP(A10, 'Crop Benchmarks'!A:B, 2, FALSE)</f>
        <v/>
      </c>
      <c r="F10" s="8">
        <f>IFERROR((D10-E10)/E10, 0)</f>
        <v/>
      </c>
      <c r="G10" s="4">
        <f>IF(F10&gt;=0.002, "High Yield", IF(F10&gt;=-0.01, "Moderate Yield", "Needs Support"))</f>
        <v/>
      </c>
      <c r="H10" s="6" t="n">
        <v>3144348.58</v>
      </c>
      <c r="I10" s="7">
        <f>ROUND(C10-H10, 2)</f>
        <v/>
      </c>
    </row>
    <row r="11">
      <c r="A11" s="9" t="inlineStr">
        <is>
          <t>Grand Total</t>
        </is>
      </c>
      <c r="B11" s="10">
        <f>SUM(B5:B10)</f>
        <v/>
      </c>
      <c r="C11" s="11">
        <f>SUM(C5:C10)</f>
        <v/>
      </c>
      <c r="D11" s="12">
        <f>IFERROR(C11/B11, 0)</f>
        <v/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11">
        <f>SUM(H5:H10)</f>
        <v/>
      </c>
      <c r="I11" s="12">
        <f>SUM(I5:I10)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14" customWidth="1" min="4" max="4"/>
    <col width="24" customWidth="1" min="5" max="5"/>
    <col width="17" customWidth="1" min="6" max="6"/>
  </cols>
  <sheetData>
    <row r="1">
      <c r="A1" t="inlineStr">
        <is>
          <t>state</t>
        </is>
      </c>
      <c r="B1" t="inlineStr">
        <is>
          <t>district</t>
        </is>
      </c>
      <c r="C1" t="inlineStr">
        <is>
          <t>crop</t>
        </is>
      </c>
      <c r="D1" t="inlineStr">
        <is>
          <t>avg_area_ha</t>
        </is>
      </c>
      <c r="E1" t="inlineStr">
        <is>
          <t>avg_production_tonnes</t>
        </is>
      </c>
      <c r="F1" t="inlineStr">
        <is>
          <t>avg_yield_t_ha</t>
        </is>
      </c>
    </row>
    <row r="2">
      <c r="A2" t="inlineStr">
        <is>
          <t>Himachal Pradesh</t>
        </is>
      </c>
      <c r="B2" t="inlineStr">
        <is>
          <t>Shimla</t>
        </is>
      </c>
      <c r="C2" t="inlineStr">
        <is>
          <t>Apple</t>
        </is>
      </c>
      <c r="D2" t="n">
        <v>13180.39</v>
      </c>
      <c r="E2" t="n">
        <v>176764</v>
      </c>
      <c r="F2" t="n">
        <v>13.92</v>
      </c>
    </row>
    <row r="3">
      <c r="A3" t="inlineStr">
        <is>
          <t>Jammu &amp; Kashmir</t>
        </is>
      </c>
      <c r="B3" t="inlineStr">
        <is>
          <t>Pulwama</t>
        </is>
      </c>
      <c r="C3" t="inlineStr">
        <is>
          <t>Apple</t>
        </is>
      </c>
      <c r="D3" t="n">
        <v>17260.63</v>
      </c>
      <c r="E3" t="n">
        <v>238808.62</v>
      </c>
      <c r="F3" t="n">
        <v>13.77</v>
      </c>
    </row>
    <row r="4">
      <c r="A4" t="inlineStr">
        <is>
          <t>Jammu &amp; Kashmir</t>
        </is>
      </c>
      <c r="B4" t="inlineStr">
        <is>
          <t>Anantnag</t>
        </is>
      </c>
      <c r="C4" t="inlineStr">
        <is>
          <t>Apple</t>
        </is>
      </c>
      <c r="D4" t="n">
        <v>13323.51</v>
      </c>
      <c r="E4" t="n">
        <v>174935.65</v>
      </c>
      <c r="F4" t="n">
        <v>13.32</v>
      </c>
    </row>
    <row r="5">
      <c r="A5" t="inlineStr">
        <is>
          <t>Himachal Pradesh</t>
        </is>
      </c>
      <c r="B5" t="inlineStr">
        <is>
          <t>Kinnaur</t>
        </is>
      </c>
      <c r="C5" t="inlineStr">
        <is>
          <t>Apple</t>
        </is>
      </c>
      <c r="D5" t="n">
        <v>14413.12</v>
      </c>
      <c r="E5" t="n">
        <v>184174.75</v>
      </c>
      <c r="F5" t="n">
        <v>12.47</v>
      </c>
    </row>
    <row r="6">
      <c r="A6" t="inlineStr">
        <is>
          <t>Himachal Pradesh</t>
        </is>
      </c>
      <c r="B6" t="inlineStr">
        <is>
          <t>Mandi</t>
        </is>
      </c>
      <c r="C6" t="inlineStr">
        <is>
          <t>Apple</t>
        </is>
      </c>
      <c r="D6" t="n">
        <v>18334.37</v>
      </c>
      <c r="E6" t="n">
        <v>216549.73</v>
      </c>
      <c r="F6" t="n">
        <v>12.05</v>
      </c>
    </row>
    <row r="7">
      <c r="A7" t="inlineStr">
        <is>
          <t>Himachal Pradesh</t>
        </is>
      </c>
      <c r="B7" t="inlineStr">
        <is>
          <t>Solan</t>
        </is>
      </c>
      <c r="C7" t="inlineStr">
        <is>
          <t>Apple</t>
        </is>
      </c>
      <c r="D7" t="n">
        <v>15899.37</v>
      </c>
      <c r="E7" t="n">
        <v>187151.95</v>
      </c>
      <c r="F7" t="n">
        <v>11.72</v>
      </c>
    </row>
    <row r="8">
      <c r="A8" t="inlineStr">
        <is>
          <t>Jammu &amp; Kashmir</t>
        </is>
      </c>
      <c r="B8" t="inlineStr">
        <is>
          <t>Baramulla</t>
        </is>
      </c>
      <c r="C8" t="inlineStr">
        <is>
          <t>Apple</t>
        </is>
      </c>
      <c r="D8" t="n">
        <v>15263.63</v>
      </c>
      <c r="E8" t="n">
        <v>175708.89</v>
      </c>
      <c r="F8" t="n">
        <v>11.64</v>
      </c>
    </row>
    <row r="9">
      <c r="A9" t="inlineStr">
        <is>
          <t>Jammu &amp; Kashmir</t>
        </is>
      </c>
      <c r="B9" t="inlineStr">
        <is>
          <t>Srinagar</t>
        </is>
      </c>
      <c r="C9" t="inlineStr">
        <is>
          <t>Apple</t>
        </is>
      </c>
      <c r="D9" t="n">
        <v>15242.13</v>
      </c>
      <c r="E9" t="n">
        <v>171876.1</v>
      </c>
      <c r="F9" t="n">
        <v>11.13</v>
      </c>
    </row>
    <row r="10">
      <c r="A10" t="inlineStr">
        <is>
          <t>Himachal Pradesh</t>
        </is>
      </c>
      <c r="B10" t="inlineStr">
        <is>
          <t>Kullu</t>
        </is>
      </c>
      <c r="C10" t="inlineStr">
        <is>
          <t>Apple</t>
        </is>
      </c>
      <c r="D10" t="n">
        <v>13120.97</v>
      </c>
      <c r="E10" t="n">
        <v>135520.26</v>
      </c>
      <c r="F10" t="n">
        <v>10.56</v>
      </c>
    </row>
    <row r="11">
      <c r="A11" t="inlineStr">
        <is>
          <t>Jammu &amp; Kashmir</t>
        </is>
      </c>
      <c r="B11" t="inlineStr">
        <is>
          <t>Shopian</t>
        </is>
      </c>
      <c r="C11" t="inlineStr">
        <is>
          <t>Apple</t>
        </is>
      </c>
      <c r="D11" t="n">
        <v>13857.47</v>
      </c>
      <c r="E11" t="n">
        <v>140449.41</v>
      </c>
      <c r="F11" t="n">
        <v>9.74</v>
      </c>
    </row>
    <row r="12">
      <c r="A12" t="inlineStr">
        <is>
          <t>Karnataka</t>
        </is>
      </c>
      <c r="B12" t="inlineStr">
        <is>
          <t>Tumakuru</t>
        </is>
      </c>
      <c r="C12" t="inlineStr">
        <is>
          <t>Banana</t>
        </is>
      </c>
      <c r="D12" t="n">
        <v>7667.43</v>
      </c>
      <c r="E12" t="n">
        <v>373588.54</v>
      </c>
      <c r="F12" t="n">
        <v>49.72</v>
      </c>
    </row>
    <row r="13">
      <c r="A13" t="inlineStr">
        <is>
          <t>Karnataka</t>
        </is>
      </c>
      <c r="B13" t="inlineStr">
        <is>
          <t>Chikkaballapur</t>
        </is>
      </c>
      <c r="C13" t="inlineStr">
        <is>
          <t>Banana</t>
        </is>
      </c>
      <c r="D13" t="n">
        <v>8361.43</v>
      </c>
      <c r="E13" t="n">
        <v>407512.6</v>
      </c>
      <c r="F13" t="n">
        <v>49.18</v>
      </c>
    </row>
    <row r="14">
      <c r="A14" t="inlineStr">
        <is>
          <t>Karnataka</t>
        </is>
      </c>
      <c r="B14" t="inlineStr">
        <is>
          <t>Vijayapura</t>
        </is>
      </c>
      <c r="C14" t="inlineStr">
        <is>
          <t>Banana</t>
        </is>
      </c>
      <c r="D14" t="n">
        <v>9462.6</v>
      </c>
      <c r="E14" t="n">
        <v>462737.29</v>
      </c>
      <c r="F14" t="n">
        <v>48.67</v>
      </c>
    </row>
    <row r="15">
      <c r="A15" t="inlineStr">
        <is>
          <t>Andhra Pradesh</t>
        </is>
      </c>
      <c r="B15" t="inlineStr">
        <is>
          <t>Cuddapah</t>
        </is>
      </c>
      <c r="C15" t="inlineStr">
        <is>
          <t>Banana</t>
        </is>
      </c>
      <c r="D15" t="n">
        <v>7117.85</v>
      </c>
      <c r="E15" t="n">
        <v>337754.78</v>
      </c>
      <c r="F15" t="n">
        <v>47.93</v>
      </c>
    </row>
    <row r="16">
      <c r="A16" t="inlineStr">
        <is>
          <t>Gujarat</t>
        </is>
      </c>
      <c r="B16" t="inlineStr">
        <is>
          <t>Valsad</t>
        </is>
      </c>
      <c r="C16" t="inlineStr">
        <is>
          <t>Banana</t>
        </is>
      </c>
      <c r="D16" t="n">
        <v>7705.74</v>
      </c>
      <c r="E16" t="n">
        <v>361182.29</v>
      </c>
      <c r="F16" t="n">
        <v>47.51</v>
      </c>
    </row>
    <row r="17">
      <c r="A17" t="inlineStr">
        <is>
          <t>Maharashtra</t>
        </is>
      </c>
      <c r="B17" t="inlineStr">
        <is>
          <t>Nagpur</t>
        </is>
      </c>
      <c r="C17" t="inlineStr">
        <is>
          <t>Banana</t>
        </is>
      </c>
      <c r="D17" t="n">
        <v>6754.56</v>
      </c>
      <c r="E17" t="n">
        <v>330799.3</v>
      </c>
      <c r="F17" t="n">
        <v>47.38</v>
      </c>
    </row>
    <row r="18">
      <c r="A18" t="inlineStr">
        <is>
          <t>Andhra Pradesh</t>
        </is>
      </c>
      <c r="B18" t="inlineStr">
        <is>
          <t>Chittoor</t>
        </is>
      </c>
      <c r="C18" t="inlineStr">
        <is>
          <t>Banana</t>
        </is>
      </c>
      <c r="D18" t="n">
        <v>7465.59</v>
      </c>
      <c r="E18" t="n">
        <v>340998.62</v>
      </c>
      <c r="F18" t="n">
        <v>46.58</v>
      </c>
    </row>
    <row r="19">
      <c r="A19" t="inlineStr">
        <is>
          <t>Andhra Pradesh</t>
        </is>
      </c>
      <c r="B19" t="inlineStr">
        <is>
          <t>Anantapur</t>
        </is>
      </c>
      <c r="C19" t="inlineStr">
        <is>
          <t>Banana</t>
        </is>
      </c>
      <c r="D19" t="n">
        <v>8379.09</v>
      </c>
      <c r="E19" t="n">
        <v>385540.14</v>
      </c>
      <c r="F19" t="n">
        <v>45.87</v>
      </c>
    </row>
    <row r="20">
      <c r="A20" t="inlineStr">
        <is>
          <t>Maharashtra</t>
        </is>
      </c>
      <c r="B20" t="inlineStr">
        <is>
          <t>Ratnagiri</t>
        </is>
      </c>
      <c r="C20" t="inlineStr">
        <is>
          <t>Banana</t>
        </is>
      </c>
      <c r="D20" t="n">
        <v>7697.81</v>
      </c>
      <c r="E20" t="n">
        <v>348409.46</v>
      </c>
      <c r="F20" t="n">
        <v>45.81</v>
      </c>
    </row>
    <row r="21">
      <c r="A21" t="inlineStr">
        <is>
          <t>Andhra Pradesh</t>
        </is>
      </c>
      <c r="B21" t="inlineStr">
        <is>
          <t>Guntur</t>
        </is>
      </c>
      <c r="C21" t="inlineStr">
        <is>
          <t>Banana</t>
        </is>
      </c>
      <c r="D21" t="n">
        <v>8131.12</v>
      </c>
      <c r="E21" t="n">
        <v>370761.04</v>
      </c>
      <c r="F21" t="n">
        <v>45.5</v>
      </c>
    </row>
    <row r="22">
      <c r="A22" t="inlineStr">
        <is>
          <t>Gujarat</t>
        </is>
      </c>
      <c r="B22" t="inlineStr">
        <is>
          <t>Junagadh</t>
        </is>
      </c>
      <c r="C22" t="inlineStr">
        <is>
          <t>Banana</t>
        </is>
      </c>
      <c r="D22" t="n">
        <v>7773.56</v>
      </c>
      <c r="E22" t="n">
        <v>347663.3</v>
      </c>
      <c r="F22" t="n">
        <v>45</v>
      </c>
    </row>
    <row r="23">
      <c r="A23" t="inlineStr">
        <is>
          <t>Gujarat</t>
        </is>
      </c>
      <c r="B23" t="inlineStr">
        <is>
          <t>Bharuch</t>
        </is>
      </c>
      <c r="C23" t="inlineStr">
        <is>
          <t>Banana</t>
        </is>
      </c>
      <c r="D23" t="n">
        <v>7090.99</v>
      </c>
      <c r="E23" t="n">
        <v>312068.79</v>
      </c>
      <c r="F23" t="n">
        <v>44.72</v>
      </c>
    </row>
    <row r="24">
      <c r="A24" t="inlineStr">
        <is>
          <t>Andhra Pradesh</t>
        </is>
      </c>
      <c r="B24" t="inlineStr">
        <is>
          <t>Krishna</t>
        </is>
      </c>
      <c r="C24" t="inlineStr">
        <is>
          <t>Banana</t>
        </is>
      </c>
      <c r="D24" t="n">
        <v>8750.200000000001</v>
      </c>
      <c r="E24" t="n">
        <v>400285.12</v>
      </c>
      <c r="F24" t="n">
        <v>44.67</v>
      </c>
    </row>
    <row r="25">
      <c r="A25" t="inlineStr">
        <is>
          <t>Maharashtra</t>
        </is>
      </c>
      <c r="B25" t="inlineStr">
        <is>
          <t>Jalgaon</t>
        </is>
      </c>
      <c r="C25" t="inlineStr">
        <is>
          <t>Banana</t>
        </is>
      </c>
      <c r="D25" t="n">
        <v>7281.88</v>
      </c>
      <c r="E25" t="n">
        <v>322906.49</v>
      </c>
      <c r="F25" t="n">
        <v>44.29</v>
      </c>
    </row>
    <row r="26">
      <c r="A26" t="inlineStr">
        <is>
          <t>Karnataka</t>
        </is>
      </c>
      <c r="B26" t="inlineStr">
        <is>
          <t>Kolar</t>
        </is>
      </c>
      <c r="C26" t="inlineStr">
        <is>
          <t>Banana</t>
        </is>
      </c>
      <c r="D26" t="n">
        <v>7950.9</v>
      </c>
      <c r="E26" t="n">
        <v>348645.96</v>
      </c>
      <c r="F26" t="n">
        <v>43.88</v>
      </c>
    </row>
    <row r="27">
      <c r="A27" t="inlineStr">
        <is>
          <t>Maharashtra</t>
        </is>
      </c>
      <c r="B27" t="inlineStr">
        <is>
          <t>Nashik</t>
        </is>
      </c>
      <c r="C27" t="inlineStr">
        <is>
          <t>Banana</t>
        </is>
      </c>
      <c r="D27" t="n">
        <v>8522.110000000001</v>
      </c>
      <c r="E27" t="n">
        <v>365589.42</v>
      </c>
      <c r="F27" t="n">
        <v>43.75</v>
      </c>
    </row>
    <row r="28">
      <c r="A28" t="inlineStr">
        <is>
          <t>Gujarat</t>
        </is>
      </c>
      <c r="B28" t="inlineStr">
        <is>
          <t>Banaskantha</t>
        </is>
      </c>
      <c r="C28" t="inlineStr">
        <is>
          <t>Banana</t>
        </is>
      </c>
      <c r="D28" t="n">
        <v>8046.35</v>
      </c>
      <c r="E28" t="n">
        <v>343130.8</v>
      </c>
      <c r="F28" t="n">
        <v>42.17</v>
      </c>
    </row>
    <row r="29">
      <c r="A29" t="inlineStr">
        <is>
          <t>Gujarat</t>
        </is>
      </c>
      <c r="B29" t="inlineStr">
        <is>
          <t>Anand</t>
        </is>
      </c>
      <c r="C29" t="inlineStr">
        <is>
          <t>Banana</t>
        </is>
      </c>
      <c r="D29" t="n">
        <v>7942.75</v>
      </c>
      <c r="E29" t="n">
        <v>325344.83</v>
      </c>
      <c r="F29" t="n">
        <v>41.05</v>
      </c>
    </row>
    <row r="30">
      <c r="A30" t="inlineStr">
        <is>
          <t>Karnataka</t>
        </is>
      </c>
      <c r="B30" t="inlineStr">
        <is>
          <t>Belagavi</t>
        </is>
      </c>
      <c r="C30" t="inlineStr">
        <is>
          <t>Banana</t>
        </is>
      </c>
      <c r="D30" t="n">
        <v>7185.2</v>
      </c>
      <c r="E30" t="n">
        <v>292965.92</v>
      </c>
      <c r="F30" t="n">
        <v>40.43</v>
      </c>
    </row>
    <row r="31">
      <c r="A31" t="inlineStr">
        <is>
          <t>Maharashtra</t>
        </is>
      </c>
      <c r="B31" t="inlineStr">
        <is>
          <t>Ahmednagar</t>
        </is>
      </c>
      <c r="C31" t="inlineStr">
        <is>
          <t>Banana</t>
        </is>
      </c>
      <c r="D31" t="n">
        <v>8058.48</v>
      </c>
      <c r="E31" t="n">
        <v>315088.87</v>
      </c>
      <c r="F31" t="n">
        <v>39.14</v>
      </c>
    </row>
    <row r="32">
      <c r="A32" t="inlineStr">
        <is>
          <t>Karnataka</t>
        </is>
      </c>
      <c r="B32" t="inlineStr">
        <is>
          <t>Chikkaballapur</t>
        </is>
      </c>
      <c r="C32" t="inlineStr">
        <is>
          <t>Citrus</t>
        </is>
      </c>
      <c r="D32" t="n">
        <v>8869.290000000001</v>
      </c>
      <c r="E32" t="n">
        <v>142789.03</v>
      </c>
      <c r="F32" t="n">
        <v>15.76</v>
      </c>
    </row>
    <row r="33">
      <c r="A33" t="inlineStr">
        <is>
          <t>Andhra Pradesh</t>
        </is>
      </c>
      <c r="B33" t="inlineStr">
        <is>
          <t>Cuddapah</t>
        </is>
      </c>
      <c r="C33" t="inlineStr">
        <is>
          <t>Citrus</t>
        </is>
      </c>
      <c r="D33" t="n">
        <v>10445.95</v>
      </c>
      <c r="E33" t="n">
        <v>164085.78</v>
      </c>
      <c r="F33" t="n">
        <v>15.68</v>
      </c>
    </row>
    <row r="34">
      <c r="A34" t="inlineStr">
        <is>
          <t>Maharashtra</t>
        </is>
      </c>
      <c r="B34" t="inlineStr">
        <is>
          <t>Nashik</t>
        </is>
      </c>
      <c r="C34" t="inlineStr">
        <is>
          <t>Citrus</t>
        </is>
      </c>
      <c r="D34" t="n">
        <v>9884.209999999999</v>
      </c>
      <c r="E34" t="n">
        <v>154337.57</v>
      </c>
      <c r="F34" t="n">
        <v>15.61</v>
      </c>
    </row>
    <row r="35">
      <c r="A35" t="inlineStr">
        <is>
          <t>Maharashtra</t>
        </is>
      </c>
      <c r="B35" t="inlineStr">
        <is>
          <t>Ahmednagar</t>
        </is>
      </c>
      <c r="C35" t="inlineStr">
        <is>
          <t>Citrus</t>
        </is>
      </c>
      <c r="D35" t="n">
        <v>9685.74</v>
      </c>
      <c r="E35" t="n">
        <v>148327.78</v>
      </c>
      <c r="F35" t="n">
        <v>15.56</v>
      </c>
    </row>
    <row r="36">
      <c r="A36" t="inlineStr">
        <is>
          <t>Gujarat</t>
        </is>
      </c>
      <c r="B36" t="inlineStr">
        <is>
          <t>Anand</t>
        </is>
      </c>
      <c r="C36" t="inlineStr">
        <is>
          <t>Citrus</t>
        </is>
      </c>
      <c r="D36" t="n">
        <v>9487.41</v>
      </c>
      <c r="E36" t="n">
        <v>145315.96</v>
      </c>
      <c r="F36" t="n">
        <v>15.13</v>
      </c>
    </row>
    <row r="37">
      <c r="A37" t="inlineStr">
        <is>
          <t>Andhra Pradesh</t>
        </is>
      </c>
      <c r="B37" t="inlineStr">
        <is>
          <t>Anantapur</t>
        </is>
      </c>
      <c r="C37" t="inlineStr">
        <is>
          <t>Citrus</t>
        </is>
      </c>
      <c r="D37" t="n">
        <v>9756.52</v>
      </c>
      <c r="E37" t="n">
        <v>143247.89</v>
      </c>
      <c r="F37" t="n">
        <v>14.65</v>
      </c>
    </row>
    <row r="38">
      <c r="A38" t="inlineStr">
        <is>
          <t>Gujarat</t>
        </is>
      </c>
      <c r="B38" t="inlineStr">
        <is>
          <t>Bharuch</t>
        </is>
      </c>
      <c r="C38" t="inlineStr">
        <is>
          <t>Citrus</t>
        </is>
      </c>
      <c r="D38" t="n">
        <v>9397.950000000001</v>
      </c>
      <c r="E38" t="n">
        <v>131041.27</v>
      </c>
      <c r="F38" t="n">
        <v>14.61</v>
      </c>
    </row>
    <row r="39">
      <c r="A39" t="inlineStr">
        <is>
          <t>Gujarat</t>
        </is>
      </c>
      <c r="B39" t="inlineStr">
        <is>
          <t>Valsad</t>
        </is>
      </c>
      <c r="C39" t="inlineStr">
        <is>
          <t>Citrus</t>
        </is>
      </c>
      <c r="D39" t="n">
        <v>9474.120000000001</v>
      </c>
      <c r="E39" t="n">
        <v>135611.08</v>
      </c>
      <c r="F39" t="n">
        <v>14.59</v>
      </c>
    </row>
    <row r="40">
      <c r="A40" t="inlineStr">
        <is>
          <t>Gujarat</t>
        </is>
      </c>
      <c r="B40" t="inlineStr">
        <is>
          <t>Junagadh</t>
        </is>
      </c>
      <c r="C40" t="inlineStr">
        <is>
          <t>Citrus</t>
        </is>
      </c>
      <c r="D40" t="n">
        <v>10442.42</v>
      </c>
      <c r="E40" t="n">
        <v>146332.37</v>
      </c>
      <c r="F40" t="n">
        <v>14.35</v>
      </c>
    </row>
    <row r="41">
      <c r="A41" t="inlineStr">
        <is>
          <t>Gujarat</t>
        </is>
      </c>
      <c r="B41" t="inlineStr">
        <is>
          <t>Banaskantha</t>
        </is>
      </c>
      <c r="C41" t="inlineStr">
        <is>
          <t>Citrus</t>
        </is>
      </c>
      <c r="D41" t="n">
        <v>9666.48</v>
      </c>
      <c r="E41" t="n">
        <v>134161.48</v>
      </c>
      <c r="F41" t="n">
        <v>13.9</v>
      </c>
    </row>
    <row r="42">
      <c r="A42" t="inlineStr">
        <is>
          <t>Karnataka</t>
        </is>
      </c>
      <c r="B42" t="inlineStr">
        <is>
          <t>Belagavi</t>
        </is>
      </c>
      <c r="C42" t="inlineStr">
        <is>
          <t>Citrus</t>
        </is>
      </c>
      <c r="D42" t="n">
        <v>10202.87</v>
      </c>
      <c r="E42" t="n">
        <v>142581.66</v>
      </c>
      <c r="F42" t="n">
        <v>13.77</v>
      </c>
    </row>
    <row r="43">
      <c r="A43" t="inlineStr">
        <is>
          <t>Karnataka</t>
        </is>
      </c>
      <c r="B43" t="inlineStr">
        <is>
          <t>Kolar</t>
        </is>
      </c>
      <c r="C43" t="inlineStr">
        <is>
          <t>Citrus</t>
        </is>
      </c>
      <c r="D43" t="n">
        <v>10282.77</v>
      </c>
      <c r="E43" t="n">
        <v>140886.4</v>
      </c>
      <c r="F43" t="n">
        <v>13.76</v>
      </c>
    </row>
    <row r="44">
      <c r="A44" t="inlineStr">
        <is>
          <t>Maharashtra</t>
        </is>
      </c>
      <c r="B44" t="inlineStr">
        <is>
          <t>Jalgaon</t>
        </is>
      </c>
      <c r="C44" t="inlineStr">
        <is>
          <t>Citrus</t>
        </is>
      </c>
      <c r="D44" t="n">
        <v>9676.379999999999</v>
      </c>
      <c r="E44" t="n">
        <v>129713.33</v>
      </c>
      <c r="F44" t="n">
        <v>13.57</v>
      </c>
    </row>
    <row r="45">
      <c r="A45" t="inlineStr">
        <is>
          <t>Andhra Pradesh</t>
        </is>
      </c>
      <c r="B45" t="inlineStr">
        <is>
          <t>Krishna</t>
        </is>
      </c>
      <c r="C45" t="inlineStr">
        <is>
          <t>Citrus</t>
        </is>
      </c>
      <c r="D45" t="n">
        <v>9283.75</v>
      </c>
      <c r="E45" t="n">
        <v>127870.37</v>
      </c>
      <c r="F45" t="n">
        <v>13.47</v>
      </c>
    </row>
    <row r="46">
      <c r="A46" t="inlineStr">
        <is>
          <t>Maharashtra</t>
        </is>
      </c>
      <c r="B46" t="inlineStr">
        <is>
          <t>Ratnagiri</t>
        </is>
      </c>
      <c r="C46" t="inlineStr">
        <is>
          <t>Citrus</t>
        </is>
      </c>
      <c r="D46" t="n">
        <v>9123.66</v>
      </c>
      <c r="E46" t="n">
        <v>123764.62</v>
      </c>
      <c r="F46" t="n">
        <v>13.38</v>
      </c>
    </row>
    <row r="47">
      <c r="A47" t="inlineStr">
        <is>
          <t>Andhra Pradesh</t>
        </is>
      </c>
      <c r="B47" t="inlineStr">
        <is>
          <t>Chittoor</t>
        </is>
      </c>
      <c r="C47" t="inlineStr">
        <is>
          <t>Citrus</t>
        </is>
      </c>
      <c r="D47" t="n">
        <v>10922.03</v>
      </c>
      <c r="E47" t="n">
        <v>141807.22</v>
      </c>
      <c r="F47" t="n">
        <v>13.07</v>
      </c>
    </row>
    <row r="48">
      <c r="A48" t="inlineStr">
        <is>
          <t>Andhra Pradesh</t>
        </is>
      </c>
      <c r="B48" t="inlineStr">
        <is>
          <t>Guntur</t>
        </is>
      </c>
      <c r="C48" t="inlineStr">
        <is>
          <t>Citrus</t>
        </is>
      </c>
      <c r="D48" t="n">
        <v>8429.74</v>
      </c>
      <c r="E48" t="n">
        <v>115000.99</v>
      </c>
      <c r="F48" t="n">
        <v>12.99</v>
      </c>
    </row>
    <row r="49">
      <c r="A49" t="inlineStr">
        <is>
          <t>Karnataka</t>
        </is>
      </c>
      <c r="B49" t="inlineStr">
        <is>
          <t>Vijayapura</t>
        </is>
      </c>
      <c r="C49" t="inlineStr">
        <is>
          <t>Citrus</t>
        </is>
      </c>
      <c r="D49" t="n">
        <v>8922.4</v>
      </c>
      <c r="E49" t="n">
        <v>108195.83</v>
      </c>
      <c r="F49" t="n">
        <v>11.96</v>
      </c>
    </row>
    <row r="50">
      <c r="A50" t="inlineStr">
        <is>
          <t>Maharashtra</t>
        </is>
      </c>
      <c r="B50" t="inlineStr">
        <is>
          <t>Nagpur</t>
        </is>
      </c>
      <c r="C50" t="inlineStr">
        <is>
          <t>Citrus</t>
        </is>
      </c>
      <c r="D50" t="n">
        <v>8640.190000000001</v>
      </c>
      <c r="E50" t="n">
        <v>100276.96</v>
      </c>
      <c r="F50" t="n">
        <v>11.81</v>
      </c>
    </row>
    <row r="51">
      <c r="A51" t="inlineStr">
        <is>
          <t>Karnataka</t>
        </is>
      </c>
      <c r="B51" t="inlineStr">
        <is>
          <t>Tumakuru</t>
        </is>
      </c>
      <c r="C51" t="inlineStr">
        <is>
          <t>Citrus</t>
        </is>
      </c>
      <c r="D51" t="n">
        <v>10906.4</v>
      </c>
      <c r="E51" t="n">
        <v>126603.09</v>
      </c>
      <c r="F51" t="n">
        <v>11.6</v>
      </c>
    </row>
    <row r="52">
      <c r="A52" t="inlineStr">
        <is>
          <t>Andhra Pradesh</t>
        </is>
      </c>
      <c r="B52" t="inlineStr">
        <is>
          <t>Guntur</t>
        </is>
      </c>
      <c r="C52" t="inlineStr">
        <is>
          <t>Grapes</t>
        </is>
      </c>
      <c r="D52" t="n">
        <v>6563.38</v>
      </c>
      <c r="E52" t="n">
        <v>174417.08</v>
      </c>
      <c r="F52" t="n">
        <v>27.42</v>
      </c>
    </row>
    <row r="53">
      <c r="A53" t="inlineStr">
        <is>
          <t>Andhra Pradesh</t>
        </is>
      </c>
      <c r="B53" t="inlineStr">
        <is>
          <t>Krishna</t>
        </is>
      </c>
      <c r="C53" t="inlineStr">
        <is>
          <t>Grapes</t>
        </is>
      </c>
      <c r="D53" t="n">
        <v>6455.44</v>
      </c>
      <c r="E53" t="n">
        <v>169839.55</v>
      </c>
      <c r="F53" t="n">
        <v>26.74</v>
      </c>
    </row>
    <row r="54">
      <c r="A54" t="inlineStr">
        <is>
          <t>Maharashtra</t>
        </is>
      </c>
      <c r="B54" t="inlineStr">
        <is>
          <t>Nashik</t>
        </is>
      </c>
      <c r="C54" t="inlineStr">
        <is>
          <t>Grapes</t>
        </is>
      </c>
      <c r="D54" t="n">
        <v>6275.64</v>
      </c>
      <c r="E54" t="n">
        <v>165819.04</v>
      </c>
      <c r="F54" t="n">
        <v>26.29</v>
      </c>
    </row>
    <row r="55">
      <c r="A55" t="inlineStr">
        <is>
          <t>Karnataka</t>
        </is>
      </c>
      <c r="B55" t="inlineStr">
        <is>
          <t>Tumakuru</t>
        </is>
      </c>
      <c r="C55" t="inlineStr">
        <is>
          <t>Grapes</t>
        </is>
      </c>
      <c r="D55" t="n">
        <v>5811.79</v>
      </c>
      <c r="E55" t="n">
        <v>149760.14</v>
      </c>
      <c r="F55" t="n">
        <v>26.08</v>
      </c>
    </row>
    <row r="56">
      <c r="A56" t="inlineStr">
        <is>
          <t>Karnataka</t>
        </is>
      </c>
      <c r="B56" t="inlineStr">
        <is>
          <t>Belagavi</t>
        </is>
      </c>
      <c r="C56" t="inlineStr">
        <is>
          <t>Grapes</t>
        </is>
      </c>
      <c r="D56" t="n">
        <v>6184.32</v>
      </c>
      <c r="E56" t="n">
        <v>160884.4</v>
      </c>
      <c r="F56" t="n">
        <v>25.91</v>
      </c>
    </row>
    <row r="57">
      <c r="A57" t="inlineStr">
        <is>
          <t>Maharashtra</t>
        </is>
      </c>
      <c r="B57" t="inlineStr">
        <is>
          <t>Ahmednagar</t>
        </is>
      </c>
      <c r="C57" t="inlineStr">
        <is>
          <t>Grapes</t>
        </is>
      </c>
      <c r="D57" t="n">
        <v>6038.98</v>
      </c>
      <c r="E57" t="n">
        <v>153400.16</v>
      </c>
      <c r="F57" t="n">
        <v>25.9</v>
      </c>
    </row>
    <row r="58">
      <c r="A58" t="inlineStr">
        <is>
          <t>Andhra Pradesh</t>
        </is>
      </c>
      <c r="B58" t="inlineStr">
        <is>
          <t>Chittoor</t>
        </is>
      </c>
      <c r="C58" t="inlineStr">
        <is>
          <t>Grapes</t>
        </is>
      </c>
      <c r="D58" t="n">
        <v>5320.05</v>
      </c>
      <c r="E58" t="n">
        <v>126906.75</v>
      </c>
      <c r="F58" t="n">
        <v>24.19</v>
      </c>
    </row>
    <row r="59">
      <c r="A59" t="inlineStr">
        <is>
          <t>Andhra Pradesh</t>
        </is>
      </c>
      <c r="B59" t="inlineStr">
        <is>
          <t>Cuddapah</t>
        </is>
      </c>
      <c r="C59" t="inlineStr">
        <is>
          <t>Grapes</t>
        </is>
      </c>
      <c r="D59" t="n">
        <v>7132.5</v>
      </c>
      <c r="E59" t="n">
        <v>172793.83</v>
      </c>
      <c r="F59" t="n">
        <v>24.16</v>
      </c>
    </row>
    <row r="60">
      <c r="A60" t="inlineStr">
        <is>
          <t>Andhra Pradesh</t>
        </is>
      </c>
      <c r="B60" t="inlineStr">
        <is>
          <t>Anantapur</t>
        </is>
      </c>
      <c r="C60" t="inlineStr">
        <is>
          <t>Grapes</t>
        </is>
      </c>
      <c r="D60" t="n">
        <v>5496.94</v>
      </c>
      <c r="E60" t="n">
        <v>132835.01</v>
      </c>
      <c r="F60" t="n">
        <v>23.76</v>
      </c>
    </row>
    <row r="61">
      <c r="A61" t="inlineStr">
        <is>
          <t>Karnataka</t>
        </is>
      </c>
      <c r="B61" t="inlineStr">
        <is>
          <t>Vijayapura</t>
        </is>
      </c>
      <c r="C61" t="inlineStr">
        <is>
          <t>Grapes</t>
        </is>
      </c>
      <c r="D61" t="n">
        <v>6627.67</v>
      </c>
      <c r="E61" t="n">
        <v>158452.27</v>
      </c>
      <c r="F61" t="n">
        <v>23.61</v>
      </c>
    </row>
    <row r="62">
      <c r="A62" t="inlineStr">
        <is>
          <t>Maharashtra</t>
        </is>
      </c>
      <c r="B62" t="inlineStr">
        <is>
          <t>Ratnagiri</t>
        </is>
      </c>
      <c r="C62" t="inlineStr">
        <is>
          <t>Grapes</t>
        </is>
      </c>
      <c r="D62" t="n">
        <v>6795.52</v>
      </c>
      <c r="E62" t="n">
        <v>165757.84</v>
      </c>
      <c r="F62" t="n">
        <v>23.61</v>
      </c>
    </row>
    <row r="63">
      <c r="A63" t="inlineStr">
        <is>
          <t>Maharashtra</t>
        </is>
      </c>
      <c r="B63" t="inlineStr">
        <is>
          <t>Nagpur</t>
        </is>
      </c>
      <c r="C63" t="inlineStr">
        <is>
          <t>Grapes</t>
        </is>
      </c>
      <c r="D63" t="n">
        <v>6058.3</v>
      </c>
      <c r="E63" t="n">
        <v>141924.54</v>
      </c>
      <c r="F63" t="n">
        <v>23.24</v>
      </c>
    </row>
    <row r="64">
      <c r="A64" t="inlineStr">
        <is>
          <t>Karnataka</t>
        </is>
      </c>
      <c r="B64" t="inlineStr">
        <is>
          <t>Chikkaballapur</t>
        </is>
      </c>
      <c r="C64" t="inlineStr">
        <is>
          <t>Grapes</t>
        </is>
      </c>
      <c r="D64" t="n">
        <v>6955.16</v>
      </c>
      <c r="E64" t="n">
        <v>160325.99</v>
      </c>
      <c r="F64" t="n">
        <v>22.91</v>
      </c>
    </row>
    <row r="65">
      <c r="A65" t="inlineStr">
        <is>
          <t>Karnataka</t>
        </is>
      </c>
      <c r="B65" t="inlineStr">
        <is>
          <t>Kolar</t>
        </is>
      </c>
      <c r="C65" t="inlineStr">
        <is>
          <t>Grapes</t>
        </is>
      </c>
      <c r="D65" t="n">
        <v>6355.45</v>
      </c>
      <c r="E65" t="n">
        <v>143288.45</v>
      </c>
      <c r="F65" t="n">
        <v>22.88</v>
      </c>
    </row>
    <row r="66">
      <c r="A66" t="inlineStr">
        <is>
          <t>Maharashtra</t>
        </is>
      </c>
      <c r="B66" t="inlineStr">
        <is>
          <t>Jalgaon</t>
        </is>
      </c>
      <c r="C66" t="inlineStr">
        <is>
          <t>Grapes</t>
        </is>
      </c>
      <c r="D66" t="n">
        <v>7315.03</v>
      </c>
      <c r="E66" t="n">
        <v>152284.58</v>
      </c>
      <c r="F66" t="n">
        <v>21.41</v>
      </c>
    </row>
    <row r="67">
      <c r="A67" t="inlineStr">
        <is>
          <t>Gujarat</t>
        </is>
      </c>
      <c r="B67" t="inlineStr">
        <is>
          <t>Valsad</t>
        </is>
      </c>
      <c r="C67" t="inlineStr">
        <is>
          <t>Guava</t>
        </is>
      </c>
      <c r="D67" t="n">
        <v>5589.15</v>
      </c>
      <c r="E67" t="n">
        <v>100000.9</v>
      </c>
      <c r="F67" t="n">
        <v>17.96</v>
      </c>
    </row>
    <row r="68">
      <c r="A68" t="inlineStr">
        <is>
          <t>Uttar Pradesh</t>
        </is>
      </c>
      <c r="B68" t="inlineStr">
        <is>
          <t>Ayodhya</t>
        </is>
      </c>
      <c r="C68" t="inlineStr">
        <is>
          <t>Guava</t>
        </is>
      </c>
      <c r="D68" t="n">
        <v>4077.98</v>
      </c>
      <c r="E68" t="n">
        <v>71121.92</v>
      </c>
      <c r="F68" t="n">
        <v>17.21</v>
      </c>
    </row>
    <row r="69">
      <c r="A69" t="inlineStr">
        <is>
          <t>Gujarat</t>
        </is>
      </c>
      <c r="B69" t="inlineStr">
        <is>
          <t>Junagadh</t>
        </is>
      </c>
      <c r="C69" t="inlineStr">
        <is>
          <t>Guava</t>
        </is>
      </c>
      <c r="D69" t="n">
        <v>5338.63</v>
      </c>
      <c r="E69" t="n">
        <v>93269.62</v>
      </c>
      <c r="F69" t="n">
        <v>17.12</v>
      </c>
    </row>
    <row r="70">
      <c r="A70" t="inlineStr">
        <is>
          <t>Gujarat</t>
        </is>
      </c>
      <c r="B70" t="inlineStr">
        <is>
          <t>Anand</t>
        </is>
      </c>
      <c r="C70" t="inlineStr">
        <is>
          <t>Guava</t>
        </is>
      </c>
      <c r="D70" t="n">
        <v>5264.36</v>
      </c>
      <c r="E70" t="n">
        <v>89799.11</v>
      </c>
      <c r="F70" t="n">
        <v>16.81</v>
      </c>
    </row>
    <row r="71">
      <c r="A71" t="inlineStr">
        <is>
          <t>Andhra Pradesh</t>
        </is>
      </c>
      <c r="B71" t="inlineStr">
        <is>
          <t>Anantapur</t>
        </is>
      </c>
      <c r="C71" t="inlineStr">
        <is>
          <t>Guava</t>
        </is>
      </c>
      <c r="D71" t="n">
        <v>4995.9</v>
      </c>
      <c r="E71" t="n">
        <v>82546.73</v>
      </c>
      <c r="F71" t="n">
        <v>16.5</v>
      </c>
    </row>
    <row r="72">
      <c r="A72" t="inlineStr">
        <is>
          <t>Andhra Pradesh</t>
        </is>
      </c>
      <c r="B72" t="inlineStr">
        <is>
          <t>Chittoor</t>
        </is>
      </c>
      <c r="C72" t="inlineStr">
        <is>
          <t>Guava</t>
        </is>
      </c>
      <c r="D72" t="n">
        <v>4435.31</v>
      </c>
      <c r="E72" t="n">
        <v>69703.37</v>
      </c>
      <c r="F72" t="n">
        <v>16.12</v>
      </c>
    </row>
    <row r="73">
      <c r="A73" t="inlineStr">
        <is>
          <t>Gujarat</t>
        </is>
      </c>
      <c r="B73" t="inlineStr">
        <is>
          <t>Banaskantha</t>
        </is>
      </c>
      <c r="C73" t="inlineStr">
        <is>
          <t>Guava</t>
        </is>
      </c>
      <c r="D73" t="n">
        <v>4624.49</v>
      </c>
      <c r="E73" t="n">
        <v>74419.83</v>
      </c>
      <c r="F73" t="n">
        <v>16</v>
      </c>
    </row>
    <row r="74">
      <c r="A74" t="inlineStr">
        <is>
          <t>Maharashtra</t>
        </is>
      </c>
      <c r="B74" t="inlineStr">
        <is>
          <t>Jalgaon</t>
        </is>
      </c>
      <c r="C74" t="inlineStr">
        <is>
          <t>Guava</t>
        </is>
      </c>
      <c r="D74" t="n">
        <v>5474.24</v>
      </c>
      <c r="E74" t="n">
        <v>86208.7</v>
      </c>
      <c r="F74" t="n">
        <v>15.87</v>
      </c>
    </row>
    <row r="75">
      <c r="A75" t="inlineStr">
        <is>
          <t>Uttar Pradesh</t>
        </is>
      </c>
      <c r="B75" t="inlineStr">
        <is>
          <t>Saharanpur</t>
        </is>
      </c>
      <c r="C75" t="inlineStr">
        <is>
          <t>Guava</t>
        </is>
      </c>
      <c r="D75" t="n">
        <v>5323.03</v>
      </c>
      <c r="E75" t="n">
        <v>84338.78</v>
      </c>
      <c r="F75" t="n">
        <v>15.86</v>
      </c>
    </row>
    <row r="76">
      <c r="A76" t="inlineStr">
        <is>
          <t>Maharashtra</t>
        </is>
      </c>
      <c r="B76" t="inlineStr">
        <is>
          <t>Ahmednagar</t>
        </is>
      </c>
      <c r="C76" t="inlineStr">
        <is>
          <t>Guava</t>
        </is>
      </c>
      <c r="D76" t="n">
        <v>4645.78</v>
      </c>
      <c r="E76" t="n">
        <v>73593.35000000001</v>
      </c>
      <c r="F76" t="n">
        <v>15.72</v>
      </c>
    </row>
    <row r="77">
      <c r="A77" t="inlineStr">
        <is>
          <t>Uttar Pradesh</t>
        </is>
      </c>
      <c r="B77" t="inlineStr">
        <is>
          <t>Varanasi</t>
        </is>
      </c>
      <c r="C77" t="inlineStr">
        <is>
          <t>Guava</t>
        </is>
      </c>
      <c r="D77" t="n">
        <v>5180.92</v>
      </c>
      <c r="E77" t="n">
        <v>77737.49000000001</v>
      </c>
      <c r="F77" t="n">
        <v>15.14</v>
      </c>
    </row>
    <row r="78">
      <c r="A78" t="inlineStr">
        <is>
          <t>Maharashtra</t>
        </is>
      </c>
      <c r="B78" t="inlineStr">
        <is>
          <t>Nagpur</t>
        </is>
      </c>
      <c r="C78" t="inlineStr">
        <is>
          <t>Guava</t>
        </is>
      </c>
      <c r="D78" t="n">
        <v>5200.63</v>
      </c>
      <c r="E78" t="n">
        <v>82448.78</v>
      </c>
      <c r="F78" t="n">
        <v>15.12</v>
      </c>
    </row>
    <row r="79">
      <c r="A79" t="inlineStr">
        <is>
          <t>Maharashtra</t>
        </is>
      </c>
      <c r="B79" t="inlineStr">
        <is>
          <t>Nashik</t>
        </is>
      </c>
      <c r="C79" t="inlineStr">
        <is>
          <t>Guava</t>
        </is>
      </c>
      <c r="D79" t="n">
        <v>5240.46</v>
      </c>
      <c r="E79" t="n">
        <v>80876.14999999999</v>
      </c>
      <c r="F79" t="n">
        <v>15.08</v>
      </c>
    </row>
    <row r="80">
      <c r="A80" t="inlineStr">
        <is>
          <t>Andhra Pradesh</t>
        </is>
      </c>
      <c r="B80" t="inlineStr">
        <is>
          <t>Guntur</t>
        </is>
      </c>
      <c r="C80" t="inlineStr">
        <is>
          <t>Guava</t>
        </is>
      </c>
      <c r="D80" t="n">
        <v>5004.29</v>
      </c>
      <c r="E80" t="n">
        <v>75424.69</v>
      </c>
      <c r="F80" t="n">
        <v>15.06</v>
      </c>
    </row>
    <row r="81">
      <c r="A81" t="inlineStr">
        <is>
          <t>Andhra Pradesh</t>
        </is>
      </c>
      <c r="B81" t="inlineStr">
        <is>
          <t>Krishna</t>
        </is>
      </c>
      <c r="C81" t="inlineStr">
        <is>
          <t>Guava</t>
        </is>
      </c>
      <c r="D81" t="n">
        <v>5242.39</v>
      </c>
      <c r="E81" t="n">
        <v>78951.91</v>
      </c>
      <c r="F81" t="n">
        <v>14.67</v>
      </c>
    </row>
    <row r="82">
      <c r="A82" t="inlineStr">
        <is>
          <t>Gujarat</t>
        </is>
      </c>
      <c r="B82" t="inlineStr">
        <is>
          <t>Bharuch</t>
        </is>
      </c>
      <c r="C82" t="inlineStr">
        <is>
          <t>Guava</t>
        </is>
      </c>
      <c r="D82" t="n">
        <v>4859.92</v>
      </c>
      <c r="E82" t="n">
        <v>72439.37</v>
      </c>
      <c r="F82" t="n">
        <v>14.6</v>
      </c>
    </row>
    <row r="83">
      <c r="A83" t="inlineStr">
        <is>
          <t>Uttar Pradesh</t>
        </is>
      </c>
      <c r="B83" t="inlineStr">
        <is>
          <t>Bareilly</t>
        </is>
      </c>
      <c r="C83" t="inlineStr">
        <is>
          <t>Guava</t>
        </is>
      </c>
      <c r="D83" t="n">
        <v>4400.09</v>
      </c>
      <c r="E83" t="n">
        <v>62343.26</v>
      </c>
      <c r="F83" t="n">
        <v>13.69</v>
      </c>
    </row>
    <row r="84">
      <c r="A84" t="inlineStr">
        <is>
          <t>Andhra Pradesh</t>
        </is>
      </c>
      <c r="B84" t="inlineStr">
        <is>
          <t>Cuddapah</t>
        </is>
      </c>
      <c r="C84" t="inlineStr">
        <is>
          <t>Guava</t>
        </is>
      </c>
      <c r="D84" t="n">
        <v>5415</v>
      </c>
      <c r="E84" t="n">
        <v>72078.64999999999</v>
      </c>
      <c r="F84" t="n">
        <v>13.14</v>
      </c>
    </row>
    <row r="85">
      <c r="A85" t="inlineStr">
        <is>
          <t>Uttar Pradesh</t>
        </is>
      </c>
      <c r="B85" t="inlineStr">
        <is>
          <t>Lucknow</t>
        </is>
      </c>
      <c r="C85" t="inlineStr">
        <is>
          <t>Guava</t>
        </is>
      </c>
      <c r="D85" t="n">
        <v>4811.78</v>
      </c>
      <c r="E85" t="n">
        <v>60910.86</v>
      </c>
      <c r="F85" t="n">
        <v>13.07</v>
      </c>
    </row>
    <row r="86">
      <c r="A86" t="inlineStr">
        <is>
          <t>Maharashtra</t>
        </is>
      </c>
      <c r="B86" t="inlineStr">
        <is>
          <t>Ratnagiri</t>
        </is>
      </c>
      <c r="C86" t="inlineStr">
        <is>
          <t>Guava</t>
        </is>
      </c>
      <c r="D86" t="n">
        <v>4867.84</v>
      </c>
      <c r="E86" t="n">
        <v>60697.92</v>
      </c>
      <c r="F86" t="n">
        <v>12.83</v>
      </c>
    </row>
    <row r="87">
      <c r="A87" t="inlineStr">
        <is>
          <t>Maharashtra</t>
        </is>
      </c>
      <c r="B87" t="inlineStr">
        <is>
          <t>Ahmednagar</t>
        </is>
      </c>
      <c r="C87" t="inlineStr">
        <is>
          <t>Mango</t>
        </is>
      </c>
      <c r="D87" t="n">
        <v>9808.639999999999</v>
      </c>
      <c r="E87" t="n">
        <v>119840.16</v>
      </c>
      <c r="F87" t="n">
        <v>12.28</v>
      </c>
    </row>
    <row r="88">
      <c r="A88" t="inlineStr">
        <is>
          <t>Karnataka</t>
        </is>
      </c>
      <c r="B88" t="inlineStr">
        <is>
          <t>Chikkaballapur</t>
        </is>
      </c>
      <c r="C88" t="inlineStr">
        <is>
          <t>Mango</t>
        </is>
      </c>
      <c r="D88" t="n">
        <v>12687.75</v>
      </c>
      <c r="E88" t="n">
        <v>153906.2</v>
      </c>
      <c r="F88" t="n">
        <v>12.16</v>
      </c>
    </row>
    <row r="89">
      <c r="A89" t="inlineStr">
        <is>
          <t>Karnataka</t>
        </is>
      </c>
      <c r="B89" t="inlineStr">
        <is>
          <t>Tumakuru</t>
        </is>
      </c>
      <c r="C89" t="inlineStr">
        <is>
          <t>Mango</t>
        </is>
      </c>
      <c r="D89" t="n">
        <v>13634.75</v>
      </c>
      <c r="E89" t="n">
        <v>161785.5</v>
      </c>
      <c r="F89" t="n">
        <v>11.67</v>
      </c>
    </row>
    <row r="90">
      <c r="A90" t="inlineStr">
        <is>
          <t>Uttar Pradesh</t>
        </is>
      </c>
      <c r="B90" t="inlineStr">
        <is>
          <t>Bareilly</t>
        </is>
      </c>
      <c r="C90" t="inlineStr">
        <is>
          <t>Mango</t>
        </is>
      </c>
      <c r="D90" t="n">
        <v>12963.31</v>
      </c>
      <c r="E90" t="n">
        <v>152091.94</v>
      </c>
      <c r="F90" t="n">
        <v>11.53</v>
      </c>
    </row>
    <row r="91">
      <c r="A91" t="inlineStr">
        <is>
          <t>Maharashtra</t>
        </is>
      </c>
      <c r="B91" t="inlineStr">
        <is>
          <t>Jalgaon</t>
        </is>
      </c>
      <c r="C91" t="inlineStr">
        <is>
          <t>Mango</t>
        </is>
      </c>
      <c r="D91" t="n">
        <v>11533.34</v>
      </c>
      <c r="E91" t="n">
        <v>131661.51</v>
      </c>
      <c r="F91" t="n">
        <v>11.52</v>
      </c>
    </row>
    <row r="92">
      <c r="A92" t="inlineStr">
        <is>
          <t>Karnataka</t>
        </is>
      </c>
      <c r="B92" t="inlineStr">
        <is>
          <t>Kolar</t>
        </is>
      </c>
      <c r="C92" t="inlineStr">
        <is>
          <t>Mango</t>
        </is>
      </c>
      <c r="D92" t="n">
        <v>10757.49</v>
      </c>
      <c r="E92" t="n">
        <v>121810.4</v>
      </c>
      <c r="F92" t="n">
        <v>11.45</v>
      </c>
    </row>
    <row r="93">
      <c r="A93" t="inlineStr">
        <is>
          <t>Gujarat</t>
        </is>
      </c>
      <c r="B93" t="inlineStr">
        <is>
          <t>Anand</t>
        </is>
      </c>
      <c r="C93" t="inlineStr">
        <is>
          <t>Mango</t>
        </is>
      </c>
      <c r="D93" t="n">
        <v>11968.48</v>
      </c>
      <c r="E93" t="n">
        <v>126246.78</v>
      </c>
      <c r="F93" t="n">
        <v>10.73</v>
      </c>
    </row>
    <row r="94">
      <c r="A94" t="inlineStr">
        <is>
          <t>Uttar Pradesh</t>
        </is>
      </c>
      <c r="B94" t="inlineStr">
        <is>
          <t>Saharanpur</t>
        </is>
      </c>
      <c r="C94" t="inlineStr">
        <is>
          <t>Mango</t>
        </is>
      </c>
      <c r="D94" t="n">
        <v>12007.87</v>
      </c>
      <c r="E94" t="n">
        <v>126533.24</v>
      </c>
      <c r="F94" t="n">
        <v>10.62</v>
      </c>
    </row>
    <row r="95">
      <c r="A95" t="inlineStr">
        <is>
          <t>Maharashtra</t>
        </is>
      </c>
      <c r="B95" t="inlineStr">
        <is>
          <t>Nashik</t>
        </is>
      </c>
      <c r="C95" t="inlineStr">
        <is>
          <t>Mango</t>
        </is>
      </c>
      <c r="D95" t="n">
        <v>12416.34</v>
      </c>
      <c r="E95" t="n">
        <v>130382.29</v>
      </c>
      <c r="F95" t="n">
        <v>10.58</v>
      </c>
    </row>
    <row r="96">
      <c r="A96" t="inlineStr">
        <is>
          <t>Uttar Pradesh</t>
        </is>
      </c>
      <c r="B96" t="inlineStr">
        <is>
          <t>Ayodhya</t>
        </is>
      </c>
      <c r="C96" t="inlineStr">
        <is>
          <t>Mango</t>
        </is>
      </c>
      <c r="D96" t="n">
        <v>10845.34</v>
      </c>
      <c r="E96" t="n">
        <v>113348.88</v>
      </c>
      <c r="F96" t="n">
        <v>10.54</v>
      </c>
    </row>
    <row r="97">
      <c r="A97" t="inlineStr">
        <is>
          <t>Gujarat</t>
        </is>
      </c>
      <c r="B97" t="inlineStr">
        <is>
          <t>Valsad</t>
        </is>
      </c>
      <c r="C97" t="inlineStr">
        <is>
          <t>Mango</t>
        </is>
      </c>
      <c r="D97" t="n">
        <v>13334.41</v>
      </c>
      <c r="E97" t="n">
        <v>134975.18</v>
      </c>
      <c r="F97" t="n">
        <v>10.51</v>
      </c>
    </row>
    <row r="98">
      <c r="A98" t="inlineStr">
        <is>
          <t>Andhra Pradesh</t>
        </is>
      </c>
      <c r="B98" t="inlineStr">
        <is>
          <t>Krishna</t>
        </is>
      </c>
      <c r="C98" t="inlineStr">
        <is>
          <t>Mango</t>
        </is>
      </c>
      <c r="D98" t="n">
        <v>12109.92</v>
      </c>
      <c r="E98" t="n">
        <v>128137.86</v>
      </c>
      <c r="F98" t="n">
        <v>10.4</v>
      </c>
    </row>
    <row r="99">
      <c r="A99" t="inlineStr">
        <is>
          <t>Andhra Pradesh</t>
        </is>
      </c>
      <c r="B99" t="inlineStr">
        <is>
          <t>Cuddapah</t>
        </is>
      </c>
      <c r="C99" t="inlineStr">
        <is>
          <t>Mango</t>
        </is>
      </c>
      <c r="D99" t="n">
        <v>12006.92</v>
      </c>
      <c r="E99" t="n">
        <v>129640.35</v>
      </c>
      <c r="F99" t="n">
        <v>10.3</v>
      </c>
    </row>
    <row r="100">
      <c r="A100" t="inlineStr">
        <is>
          <t>Andhra Pradesh</t>
        </is>
      </c>
      <c r="B100" t="inlineStr">
        <is>
          <t>Guntur</t>
        </is>
      </c>
      <c r="C100" t="inlineStr">
        <is>
          <t>Mango</t>
        </is>
      </c>
      <c r="D100" t="n">
        <v>11454.78</v>
      </c>
      <c r="E100" t="n">
        <v>116480.38</v>
      </c>
      <c r="F100" t="n">
        <v>10.28</v>
      </c>
    </row>
    <row r="101">
      <c r="A101" t="inlineStr">
        <is>
          <t>Uttar Pradesh</t>
        </is>
      </c>
      <c r="B101" t="inlineStr">
        <is>
          <t>Varanasi</t>
        </is>
      </c>
      <c r="C101" t="inlineStr">
        <is>
          <t>Mango</t>
        </is>
      </c>
      <c r="D101" t="n">
        <v>11967.42</v>
      </c>
      <c r="E101" t="n">
        <v>118520.31</v>
      </c>
      <c r="F101" t="n">
        <v>10.25</v>
      </c>
    </row>
    <row r="102">
      <c r="A102" t="inlineStr">
        <is>
          <t>Uttar Pradesh</t>
        </is>
      </c>
      <c r="B102" t="inlineStr">
        <is>
          <t>Lucknow</t>
        </is>
      </c>
      <c r="C102" t="inlineStr">
        <is>
          <t>Mango</t>
        </is>
      </c>
      <c r="D102" t="n">
        <v>14416.87</v>
      </c>
      <c r="E102" t="n">
        <v>148401.26</v>
      </c>
      <c r="F102" t="n">
        <v>10.24</v>
      </c>
    </row>
    <row r="103">
      <c r="A103" t="inlineStr">
        <is>
          <t>Andhra Pradesh</t>
        </is>
      </c>
      <c r="B103" t="inlineStr">
        <is>
          <t>Anantapur</t>
        </is>
      </c>
      <c r="C103" t="inlineStr">
        <is>
          <t>Mango</t>
        </is>
      </c>
      <c r="D103" t="n">
        <v>12309.71</v>
      </c>
      <c r="E103" t="n">
        <v>123274.15</v>
      </c>
      <c r="F103" t="n">
        <v>10.23</v>
      </c>
    </row>
    <row r="104">
      <c r="A104" t="inlineStr">
        <is>
          <t>Andhra Pradesh</t>
        </is>
      </c>
      <c r="B104" t="inlineStr">
        <is>
          <t>Chittoor</t>
        </is>
      </c>
      <c r="C104" t="inlineStr">
        <is>
          <t>Mango</t>
        </is>
      </c>
      <c r="D104" t="n">
        <v>12447.93</v>
      </c>
      <c r="E104" t="n">
        <v>127887.21</v>
      </c>
      <c r="F104" t="n">
        <v>10.18</v>
      </c>
    </row>
    <row r="105">
      <c r="A105" t="inlineStr">
        <is>
          <t>Gujarat</t>
        </is>
      </c>
      <c r="B105" t="inlineStr">
        <is>
          <t>Banaskantha</t>
        </is>
      </c>
      <c r="C105" t="inlineStr">
        <is>
          <t>Mango</t>
        </is>
      </c>
      <c r="D105" t="n">
        <v>10794.78</v>
      </c>
      <c r="E105" t="n">
        <v>105780.59</v>
      </c>
      <c r="F105" t="n">
        <v>10.18</v>
      </c>
    </row>
    <row r="106">
      <c r="A106" t="inlineStr">
        <is>
          <t>Karnataka</t>
        </is>
      </c>
      <c r="B106" t="inlineStr">
        <is>
          <t>Belagavi</t>
        </is>
      </c>
      <c r="C106" t="inlineStr">
        <is>
          <t>Mango</t>
        </is>
      </c>
      <c r="D106" t="n">
        <v>12600.89</v>
      </c>
      <c r="E106" t="n">
        <v>125802.01</v>
      </c>
      <c r="F106" t="n">
        <v>10.08</v>
      </c>
    </row>
    <row r="107">
      <c r="A107" t="inlineStr">
        <is>
          <t>Maharashtra</t>
        </is>
      </c>
      <c r="B107" t="inlineStr">
        <is>
          <t>Ratnagiri</t>
        </is>
      </c>
      <c r="C107" t="inlineStr">
        <is>
          <t>Mango</t>
        </is>
      </c>
      <c r="D107" t="n">
        <v>13475.91</v>
      </c>
      <c r="E107" t="n">
        <v>135151.65</v>
      </c>
      <c r="F107" t="n">
        <v>10.02</v>
      </c>
    </row>
    <row r="108">
      <c r="A108" t="inlineStr">
        <is>
          <t>Gujarat</t>
        </is>
      </c>
      <c r="B108" t="inlineStr">
        <is>
          <t>Junagadh</t>
        </is>
      </c>
      <c r="C108" t="inlineStr">
        <is>
          <t>Mango</t>
        </is>
      </c>
      <c r="D108" t="n">
        <v>9157.610000000001</v>
      </c>
      <c r="E108" t="n">
        <v>85515.17</v>
      </c>
      <c r="F108" t="n">
        <v>9.210000000000001</v>
      </c>
    </row>
    <row r="109">
      <c r="A109" t="inlineStr">
        <is>
          <t>Gujarat</t>
        </is>
      </c>
      <c r="B109" t="inlineStr">
        <is>
          <t>Bharuch</t>
        </is>
      </c>
      <c r="C109" t="inlineStr">
        <is>
          <t>Mango</t>
        </is>
      </c>
      <c r="D109" t="n">
        <v>10488.95</v>
      </c>
      <c r="E109" t="n">
        <v>88287.67999999999</v>
      </c>
      <c r="F109" t="n">
        <v>8.710000000000001</v>
      </c>
    </row>
    <row r="110">
      <c r="A110" t="inlineStr">
        <is>
          <t>Karnataka</t>
        </is>
      </c>
      <c r="B110" t="inlineStr">
        <is>
          <t>Vijayapura</t>
        </is>
      </c>
      <c r="C110" t="inlineStr">
        <is>
          <t>Mango</t>
        </is>
      </c>
      <c r="D110" t="n">
        <v>14087.92</v>
      </c>
      <c r="E110" t="n">
        <v>121080.6</v>
      </c>
      <c r="F110" t="n">
        <v>8.56</v>
      </c>
    </row>
    <row r="111">
      <c r="A111" t="inlineStr">
        <is>
          <t>Maharashtra</t>
        </is>
      </c>
      <c r="B111" t="inlineStr">
        <is>
          <t>Nagpur</t>
        </is>
      </c>
      <c r="C111" t="inlineStr">
        <is>
          <t>Mango</t>
        </is>
      </c>
      <c r="D111" t="n">
        <v>15073.36</v>
      </c>
      <c r="E111" t="n">
        <v>117807.28</v>
      </c>
      <c r="F111" t="n">
        <v>7.99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t="inlineStr">
        <is>
          <t>crop</t>
        </is>
      </c>
      <c r="B1" t="inlineStr">
        <is>
          <t>benchmark_yield_t_ha</t>
        </is>
      </c>
    </row>
    <row r="2">
      <c r="A2" t="inlineStr">
        <is>
          <t>Apple</t>
        </is>
      </c>
      <c r="B2" t="n">
        <v>12</v>
      </c>
    </row>
    <row r="3">
      <c r="A3" t="inlineStr">
        <is>
          <t>Banana</t>
        </is>
      </c>
      <c r="B3" t="n">
        <v>45</v>
      </c>
    </row>
    <row r="4">
      <c r="A4" t="inlineStr">
        <is>
          <t>Citrus</t>
        </is>
      </c>
      <c r="B4" t="n">
        <v>14</v>
      </c>
    </row>
    <row r="5">
      <c r="A5" t="inlineStr">
        <is>
          <t>Grapes</t>
        </is>
      </c>
      <c r="B5" t="n">
        <v>24</v>
      </c>
    </row>
    <row r="6">
      <c r="A6" t="inlineStr">
        <is>
          <t>Guava</t>
        </is>
      </c>
      <c r="B6" t="n">
        <v>15</v>
      </c>
    </row>
    <row r="7">
      <c r="A7" t="inlineStr">
        <is>
          <t>Mango</t>
        </is>
      </c>
      <c r="B7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2026-09-23T17:00:28Z</dcterms:created>
  <dcterms:modified xmlns:dcterms="http://purl.org/dc/terms/" xmlns:xsi="http://www.w3.org/2001/XMLSchema-instance" xsi:type="dcterms:W3CDTF">2026-09-23T17:00:28Z</dcterms:modified>
</cp:coreProperties>
</file>